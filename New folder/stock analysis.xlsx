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f15f3e94bf19f5/Desktop/"/>
    </mc:Choice>
  </mc:AlternateContent>
  <xr:revisionPtr revIDLastSave="38" documentId="8_{776B611F-F86B-4D59-B5C5-93680DC64CF1}" xr6:coauthVersionLast="47" xr6:coauthVersionMax="47" xr10:uidLastSave="{78A51D7C-5004-472E-A8E1-16173253845D}"/>
  <bookViews>
    <workbookView xWindow="-108" yWindow="-108" windowWidth="23256" windowHeight="12576" activeTab="1" xr2:uid="{7B00DCB0-58E5-4D69-B1D3-E3459FB3811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6" i="2" l="1"/>
  <c r="T44" i="2"/>
  <c r="T32" i="2"/>
  <c r="R37" i="2"/>
  <c r="R36" i="2"/>
  <c r="R35" i="2"/>
  <c r="Q44" i="2"/>
  <c r="U32" i="2"/>
  <c r="T22" i="2"/>
  <c r="T21" i="2"/>
  <c r="Q32" i="2"/>
  <c r="U17" i="2"/>
  <c r="T13" i="2"/>
  <c r="T18" i="2"/>
  <c r="T17" i="2"/>
  <c r="Q18" i="2"/>
  <c r="Q13" i="2"/>
  <c r="P6" i="2"/>
  <c r="P13" i="2"/>
  <c r="P10" i="2"/>
  <c r="P11" i="2"/>
  <c r="M11" i="2"/>
  <c r="P9" i="2"/>
  <c r="P8" i="2"/>
  <c r="L11" i="2"/>
  <c r="I11" i="2"/>
  <c r="E10" i="2"/>
  <c r="E9" i="2"/>
  <c r="E8" i="2"/>
  <c r="C10" i="2"/>
  <c r="C9" i="2"/>
  <c r="C8" i="2"/>
  <c r="L48" i="1"/>
  <c r="K48" i="1"/>
  <c r="J48" i="1"/>
  <c r="F48" i="1"/>
  <c r="C48" i="1"/>
  <c r="B48" i="1"/>
  <c r="C37" i="1"/>
  <c r="D37" i="1" s="1"/>
  <c r="B41" i="1"/>
  <c r="B44" i="1" s="1"/>
  <c r="M13" i="1"/>
  <c r="M11" i="1"/>
  <c r="M12" i="1"/>
  <c r="M10" i="1"/>
  <c r="M14" i="1" s="1"/>
  <c r="P11" i="1"/>
  <c r="P12" i="1"/>
  <c r="P13" i="1"/>
  <c r="P14" i="1"/>
  <c r="P10" i="1"/>
  <c r="N15" i="1"/>
  <c r="C34" i="1"/>
  <c r="C9" i="1"/>
  <c r="F9" i="1" s="1"/>
  <c r="C5" i="1"/>
  <c r="F6" i="1" s="1"/>
  <c r="B5" i="1"/>
  <c r="G37" i="1" l="1"/>
  <c r="H37" i="1" s="1"/>
  <c r="P15" i="1"/>
  <c r="Q15" i="1" s="1"/>
  <c r="C41" i="1"/>
  <c r="C44" i="1" s="1"/>
  <c r="F44" i="1" l="1"/>
  <c r="J44" i="1" s="1"/>
  <c r="K44" i="1" s="1"/>
  <c r="L44" i="1" s="1"/>
</calcChain>
</file>

<file path=xl/sharedStrings.xml><?xml version="1.0" encoding="utf-8"?>
<sst xmlns="http://schemas.openxmlformats.org/spreadsheetml/2006/main" count="20" uniqueCount="11">
  <si>
    <t>totoal cost</t>
  </si>
  <si>
    <t>Lets do the analysis from Robinhood</t>
  </si>
  <si>
    <t>Tax Money</t>
  </si>
  <si>
    <t>Total</t>
  </si>
  <si>
    <t>Profit</t>
  </si>
  <si>
    <t>Cap Increased</t>
  </si>
  <si>
    <t>Profit Incresed</t>
  </si>
  <si>
    <t>Net Tax Gain</t>
  </si>
  <si>
    <t>Use Case</t>
  </si>
  <si>
    <t>profit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</si>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</sst>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0" fontId="0" fillId="2" borderId="0" xfId="0" applyFill="1"/>
    <xf numFmtId="16" fontId="0" fillId="0" borderId="0" xfId="0" applyNumberFormat="1"/>
    <xf numFmtId="0" fontId="0" fillId="3" borderId="0" xfId="0" applyFill="1"/>
    <xf numFmtId="0" fontId="0" fillId="0" borderId="1" xfId="0" applyBorder="1"/>
    <xf numFmtId="0" fontId="0" fillId="0" borderId="2" xfId="0" applyBorder="1"/>
    <xf numFmtId="0" fontId="0" fillId="3" borderId="2" xfId="0" applyFill="1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3" borderId="0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3" borderId="7" xfId="0" applyFill="1" applyBorder="1"/>
    <xf numFmtId="0" fontId="0" fillId="0" borderId="8" xfId="0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14" fontId="0" fillId="3" borderId="0" xfId="0" applyNumberFormat="1" applyFill="1" applyBorder="1"/>
    <xf numFmtId="14" fontId="0" fillId="0" borderId="0" xfId="0" applyNumberForma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9B222-0356-4942-9B17-8E0AA45E5A1A}">
  <dimension ref="A1:Q48"/>
  <sheetViews>
    <sheetView topLeftCell="A20" workbookViewId="0">
      <selection activeCell="L49" sqref="L49"/>
    </sheetView>
  </sheetViews>
  <sheetFormatPr defaultRowHeight="14.4" x14ac:dyDescent="0.3"/>
  <cols>
    <col min="1" max="1" width="19.6640625" customWidth="1"/>
    <col min="2" max="2" width="15.33203125" customWidth="1"/>
    <col min="8" max="8" width="16.21875" customWidth="1"/>
  </cols>
  <sheetData>
    <row r="1" spans="1:17" x14ac:dyDescent="0.3">
      <c r="A1">
        <v>50</v>
      </c>
      <c r="B1">
        <v>50</v>
      </c>
      <c r="C1">
        <v>378</v>
      </c>
    </row>
    <row r="2" spans="1:17" x14ac:dyDescent="0.3">
      <c r="B2">
        <v>10</v>
      </c>
      <c r="C2">
        <v>75.3</v>
      </c>
    </row>
    <row r="3" spans="1:17" x14ac:dyDescent="0.3">
      <c r="B3">
        <v>10</v>
      </c>
      <c r="C3">
        <v>73.7</v>
      </c>
    </row>
    <row r="4" spans="1:17" x14ac:dyDescent="0.3">
      <c r="B4">
        <v>30</v>
      </c>
      <c r="C4">
        <v>216.3</v>
      </c>
    </row>
    <row r="5" spans="1:17" x14ac:dyDescent="0.3">
      <c r="B5">
        <f>SUM(B1:B4)</f>
        <v>100</v>
      </c>
      <c r="C5">
        <f>SUM(C1:C4)</f>
        <v>743.3</v>
      </c>
    </row>
    <row r="6" spans="1:17" x14ac:dyDescent="0.3">
      <c r="A6" s="2"/>
      <c r="B6" s="2"/>
      <c r="C6" s="2"/>
      <c r="D6" s="2">
        <v>100</v>
      </c>
      <c r="E6" s="2">
        <v>857</v>
      </c>
      <c r="F6" s="2">
        <f>E6-C5</f>
        <v>113.70000000000005</v>
      </c>
    </row>
    <row r="7" spans="1:17" x14ac:dyDescent="0.3">
      <c r="B7">
        <v>100</v>
      </c>
      <c r="C7">
        <v>954.94</v>
      </c>
    </row>
    <row r="8" spans="1:17" x14ac:dyDescent="0.3">
      <c r="B8">
        <v>20</v>
      </c>
      <c r="C8">
        <v>188</v>
      </c>
    </row>
    <row r="9" spans="1:17" x14ac:dyDescent="0.3">
      <c r="A9" s="2"/>
      <c r="B9" s="2"/>
      <c r="C9" s="2">
        <f>SUM(C7:C8)</f>
        <v>1142.94</v>
      </c>
      <c r="D9" s="2">
        <v>120</v>
      </c>
      <c r="E9" s="2">
        <v>1194</v>
      </c>
      <c r="F9" s="2">
        <f>E9-C9</f>
        <v>51.059999999999945</v>
      </c>
      <c r="H9">
        <v>7039453459</v>
      </c>
    </row>
    <row r="10" spans="1:17" x14ac:dyDescent="0.3">
      <c r="K10">
        <v>25</v>
      </c>
      <c r="L10">
        <v>26.5</v>
      </c>
      <c r="M10">
        <f>L10*K10</f>
        <v>662.5</v>
      </c>
      <c r="N10">
        <v>8</v>
      </c>
      <c r="O10">
        <v>29.9</v>
      </c>
      <c r="P10">
        <f>O10*N10</f>
        <v>239.2</v>
      </c>
    </row>
    <row r="11" spans="1:17" x14ac:dyDescent="0.3">
      <c r="C11">
        <v>144.30000000000001</v>
      </c>
      <c r="K11">
        <v>25</v>
      </c>
      <c r="L11">
        <v>26.75</v>
      </c>
      <c r="M11">
        <f>L11*K11</f>
        <v>668.75</v>
      </c>
      <c r="N11">
        <v>50</v>
      </c>
      <c r="O11">
        <v>29.6</v>
      </c>
      <c r="P11">
        <f>O11*N11</f>
        <v>1480</v>
      </c>
    </row>
    <row r="12" spans="1:17" x14ac:dyDescent="0.3">
      <c r="C12">
        <v>139.35</v>
      </c>
      <c r="K12">
        <v>58</v>
      </c>
      <c r="L12">
        <v>27.1</v>
      </c>
      <c r="M12">
        <f>L12*K12</f>
        <v>1571.8000000000002</v>
      </c>
      <c r="N12">
        <v>28</v>
      </c>
      <c r="O12">
        <v>28.52</v>
      </c>
      <c r="P12">
        <f>O12*N12</f>
        <v>798.56</v>
      </c>
    </row>
    <row r="13" spans="1:17" x14ac:dyDescent="0.3">
      <c r="C13">
        <v>188</v>
      </c>
      <c r="K13">
        <v>2</v>
      </c>
      <c r="L13">
        <v>26.39</v>
      </c>
      <c r="M13">
        <f>L13*K13</f>
        <v>52.78</v>
      </c>
      <c r="N13">
        <v>2</v>
      </c>
      <c r="O13">
        <v>27.93</v>
      </c>
      <c r="P13">
        <f>O13*N13</f>
        <v>55.86</v>
      </c>
    </row>
    <row r="14" spans="1:17" x14ac:dyDescent="0.3">
      <c r="C14">
        <v>91.5</v>
      </c>
      <c r="M14">
        <f>SUM(M10:M13)</f>
        <v>2955.8300000000004</v>
      </c>
      <c r="N14">
        <v>22</v>
      </c>
      <c r="O14">
        <v>27.45</v>
      </c>
      <c r="P14">
        <f>O14*N14</f>
        <v>603.9</v>
      </c>
    </row>
    <row r="15" spans="1:17" x14ac:dyDescent="0.3">
      <c r="C15">
        <v>84.35</v>
      </c>
      <c r="N15">
        <f>SUM(N10:N14)</f>
        <v>110</v>
      </c>
      <c r="P15">
        <f>SUM(P10:P14)</f>
        <v>3177.5200000000004</v>
      </c>
      <c r="Q15">
        <f>P15-M14</f>
        <v>221.69000000000005</v>
      </c>
    </row>
    <row r="16" spans="1:17" x14ac:dyDescent="0.3">
      <c r="C16">
        <v>41.25</v>
      </c>
    </row>
    <row r="17" spans="3:3" x14ac:dyDescent="0.3">
      <c r="C17">
        <v>39.33</v>
      </c>
    </row>
    <row r="18" spans="3:3" x14ac:dyDescent="0.3">
      <c r="C18">
        <v>60.06</v>
      </c>
    </row>
    <row r="19" spans="3:3" x14ac:dyDescent="0.3">
      <c r="C19">
        <v>107.19</v>
      </c>
    </row>
    <row r="20" spans="3:3" x14ac:dyDescent="0.3">
      <c r="C20">
        <v>40.9</v>
      </c>
    </row>
    <row r="21" spans="3:3" x14ac:dyDescent="0.3">
      <c r="C21">
        <v>8.0399999999999991</v>
      </c>
    </row>
    <row r="22" spans="3:3" x14ac:dyDescent="0.3">
      <c r="C22">
        <v>199.74</v>
      </c>
    </row>
    <row r="23" spans="3:3" x14ac:dyDescent="0.3">
      <c r="C23">
        <v>69.89</v>
      </c>
    </row>
    <row r="24" spans="3:3" x14ac:dyDescent="0.3">
      <c r="C24">
        <v>15.53</v>
      </c>
    </row>
    <row r="25" spans="3:3" x14ac:dyDescent="0.3">
      <c r="C25">
        <v>7.76</v>
      </c>
    </row>
    <row r="26" spans="3:3" x14ac:dyDescent="0.3">
      <c r="C26">
        <v>73.2</v>
      </c>
    </row>
    <row r="27" spans="3:3" x14ac:dyDescent="0.3">
      <c r="C27">
        <v>67.25</v>
      </c>
    </row>
    <row r="28" spans="3:3" x14ac:dyDescent="0.3">
      <c r="C28">
        <v>6.32</v>
      </c>
    </row>
    <row r="29" spans="3:3" x14ac:dyDescent="0.3">
      <c r="C29">
        <v>6.26</v>
      </c>
    </row>
    <row r="30" spans="3:3" x14ac:dyDescent="0.3">
      <c r="C30">
        <v>60.5</v>
      </c>
    </row>
    <row r="31" spans="3:3" x14ac:dyDescent="0.3">
      <c r="C31">
        <v>90.6</v>
      </c>
    </row>
    <row r="32" spans="3:3" x14ac:dyDescent="0.3">
      <c r="C32">
        <v>58.4</v>
      </c>
    </row>
    <row r="33" spans="2:12" x14ac:dyDescent="0.3">
      <c r="C33">
        <v>147.25</v>
      </c>
    </row>
    <row r="34" spans="2:12" x14ac:dyDescent="0.3">
      <c r="C34">
        <f>SUM(C11:C33)</f>
        <v>1746.9700000000003</v>
      </c>
      <c r="F34">
        <v>623.5</v>
      </c>
    </row>
    <row r="35" spans="2:12" x14ac:dyDescent="0.3">
      <c r="C35">
        <v>590</v>
      </c>
    </row>
    <row r="36" spans="2:12" x14ac:dyDescent="0.3">
      <c r="C36">
        <v>142.88</v>
      </c>
    </row>
    <row r="37" spans="2:12" x14ac:dyDescent="0.3">
      <c r="B37">
        <v>250</v>
      </c>
      <c r="C37">
        <f>SUM(C34:C36)</f>
        <v>2479.8500000000004</v>
      </c>
      <c r="D37">
        <f>C37/B37</f>
        <v>9.9194000000000013</v>
      </c>
      <c r="G37">
        <f>C37-F37</f>
        <v>2479.8500000000004</v>
      </c>
      <c r="H37">
        <f>G37-F9-F6</f>
        <v>2315.09</v>
      </c>
    </row>
    <row r="38" spans="2:12" x14ac:dyDescent="0.3">
      <c r="B38">
        <v>2</v>
      </c>
      <c r="C38">
        <v>10</v>
      </c>
    </row>
    <row r="39" spans="2:12" x14ac:dyDescent="0.3">
      <c r="B39">
        <v>28</v>
      </c>
      <c r="C39">
        <v>140.56</v>
      </c>
    </row>
    <row r="40" spans="2:12" x14ac:dyDescent="0.3">
      <c r="B40">
        <v>1</v>
      </c>
      <c r="C40">
        <v>5.04</v>
      </c>
    </row>
    <row r="41" spans="2:12" x14ac:dyDescent="0.3">
      <c r="B41">
        <f>SUM(B37:B40)</f>
        <v>281</v>
      </c>
      <c r="C41">
        <f>SUM(C37:C40)</f>
        <v>2635.4500000000003</v>
      </c>
      <c r="E41">
        <v>181</v>
      </c>
      <c r="F41">
        <v>1004.57</v>
      </c>
    </row>
    <row r="42" spans="2:12" x14ac:dyDescent="0.3">
      <c r="B42">
        <v>100</v>
      </c>
      <c r="C42">
        <v>517.5</v>
      </c>
    </row>
    <row r="43" spans="2:12" x14ac:dyDescent="0.3">
      <c r="B43">
        <v>7</v>
      </c>
      <c r="C43">
        <v>36.090000000000003</v>
      </c>
    </row>
    <row r="44" spans="2:12" x14ac:dyDescent="0.3">
      <c r="B44">
        <f>B41-E41+B42+B43</f>
        <v>207</v>
      </c>
      <c r="C44">
        <f>SUM(C41:C43)</f>
        <v>3189.0400000000004</v>
      </c>
      <c r="E44" t="s">
        <v>0</v>
      </c>
      <c r="F44">
        <f>C44-F41-F34</f>
        <v>1560.9700000000003</v>
      </c>
      <c r="H44" s="1">
        <v>45389</v>
      </c>
      <c r="I44">
        <v>1070.1500000000001</v>
      </c>
      <c r="J44">
        <f>C44-F44</f>
        <v>1628.0700000000002</v>
      </c>
      <c r="K44">
        <f>I44-J44</f>
        <v>-557.92000000000007</v>
      </c>
      <c r="L44">
        <f>K44+F6+F9</f>
        <v>-393.16000000000008</v>
      </c>
    </row>
    <row r="45" spans="2:12" x14ac:dyDescent="0.3">
      <c r="B45">
        <v>2</v>
      </c>
      <c r="C45">
        <v>10.4</v>
      </c>
    </row>
    <row r="46" spans="2:12" x14ac:dyDescent="0.3">
      <c r="B46">
        <v>8</v>
      </c>
      <c r="C46">
        <v>39</v>
      </c>
    </row>
    <row r="47" spans="2:12" x14ac:dyDescent="0.3">
      <c r="B47">
        <v>8</v>
      </c>
      <c r="C47">
        <v>38.76</v>
      </c>
    </row>
    <row r="48" spans="2:12" x14ac:dyDescent="0.3">
      <c r="B48">
        <f>SUM(B44:B47)</f>
        <v>225</v>
      </c>
      <c r="C48">
        <f>SUM(C44:C47)</f>
        <v>3277.2000000000007</v>
      </c>
      <c r="E48" t="s">
        <v>0</v>
      </c>
      <c r="F48">
        <f>C48-F34-F41</f>
        <v>1649.1300000000006</v>
      </c>
      <c r="H48" s="3">
        <v>45394</v>
      </c>
      <c r="I48">
        <v>1050.75</v>
      </c>
      <c r="J48">
        <f>C48-F48</f>
        <v>1628.0700000000002</v>
      </c>
      <c r="K48">
        <f>I48-J48</f>
        <v>-577.32000000000016</v>
      </c>
      <c r="L48">
        <f>K48+F6+F9</f>
        <v>-412.56000000000017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F35ED-1BE6-47F8-8086-E52A60FBF994}">
  <dimension ref="A1:V44"/>
  <sheetViews>
    <sheetView tabSelected="1" topLeftCell="C1" zoomScale="87" workbookViewId="0">
      <selection activeCell="T44" sqref="T44"/>
    </sheetView>
  </sheetViews>
  <sheetFormatPr defaultRowHeight="14.4" x14ac:dyDescent="0.3"/>
  <cols>
    <col min="1" max="1" width="10.21875" customWidth="1"/>
    <col min="2" max="2" width="13.5546875" customWidth="1"/>
    <col min="3" max="3" width="9.33203125" customWidth="1"/>
    <col min="4" max="4" width="14.5546875" customWidth="1"/>
    <col min="5" max="5" width="10.5546875" style="4" bestFit="1" customWidth="1"/>
    <col min="6" max="6" width="13.33203125" customWidth="1"/>
    <col min="8" max="8" width="6.6640625" customWidth="1"/>
    <col min="10" max="10" width="7" customWidth="1"/>
    <col min="16" max="16" width="8.88671875" style="4"/>
    <col min="19" max="19" width="13.44140625" customWidth="1"/>
  </cols>
  <sheetData>
    <row r="1" spans="1:22" x14ac:dyDescent="0.3">
      <c r="A1" t="s">
        <v>1</v>
      </c>
    </row>
    <row r="2" spans="1:22" ht="15" thickBot="1" x14ac:dyDescent="0.35"/>
    <row r="3" spans="1:22" x14ac:dyDescent="0.3">
      <c r="B3" t="s">
        <v>10</v>
      </c>
      <c r="C3" s="5"/>
      <c r="D3" s="6"/>
      <c r="E3" s="7"/>
      <c r="F3" s="6"/>
      <c r="G3" s="6"/>
      <c r="H3" s="6"/>
      <c r="I3" s="6"/>
      <c r="J3" s="6"/>
      <c r="K3" s="6"/>
      <c r="L3" s="6"/>
      <c r="M3" s="6"/>
      <c r="N3" s="6"/>
      <c r="O3" s="6"/>
      <c r="P3" s="7"/>
      <c r="Q3" s="6"/>
      <c r="R3" s="6"/>
      <c r="S3" s="6"/>
      <c r="T3" s="6"/>
      <c r="U3" s="6"/>
      <c r="V3" s="8"/>
    </row>
    <row r="4" spans="1:22" x14ac:dyDescent="0.3">
      <c r="C4" s="9">
        <v>5000</v>
      </c>
      <c r="D4" s="10"/>
      <c r="E4" s="11"/>
      <c r="F4" s="10"/>
      <c r="G4" s="10"/>
      <c r="H4" s="10"/>
      <c r="I4" s="10">
        <v>500</v>
      </c>
      <c r="J4" s="10"/>
      <c r="K4" s="10"/>
      <c r="L4" s="10"/>
      <c r="M4" s="10">
        <v>-500</v>
      </c>
      <c r="N4" s="10"/>
      <c r="O4" s="10"/>
      <c r="P4" s="11"/>
      <c r="Q4" s="10"/>
      <c r="R4" s="10"/>
      <c r="S4" s="10"/>
      <c r="T4" s="10"/>
      <c r="U4" s="10"/>
      <c r="V4" s="12"/>
    </row>
    <row r="5" spans="1:22" x14ac:dyDescent="0.3">
      <c r="B5" s="1"/>
      <c r="C5" s="9"/>
      <c r="D5" s="10"/>
      <c r="E5" s="11"/>
      <c r="F5" s="10"/>
      <c r="G5" s="10"/>
      <c r="H5" s="10"/>
      <c r="I5" s="10"/>
      <c r="J5" s="10"/>
      <c r="K5" s="10"/>
      <c r="L5" s="10"/>
      <c r="M5" s="10"/>
      <c r="N5" s="10"/>
      <c r="O5" s="10"/>
      <c r="P5" s="11"/>
      <c r="Q5" s="10"/>
      <c r="R5" s="10"/>
      <c r="S5" s="10"/>
      <c r="T5" s="10"/>
      <c r="U5" s="10"/>
      <c r="V5" s="12"/>
    </row>
    <row r="6" spans="1:22" s="2" customFormat="1" x14ac:dyDescent="0.3">
      <c r="C6" s="17">
        <v>5000</v>
      </c>
      <c r="D6" s="18"/>
      <c r="E6" s="11">
        <v>11000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1">
        <f>P13</f>
        <v>17700</v>
      </c>
      <c r="Q6" s="18"/>
      <c r="R6" s="18"/>
      <c r="S6" s="18"/>
      <c r="T6" s="18"/>
      <c r="U6" s="18"/>
      <c r="V6" s="19"/>
    </row>
    <row r="7" spans="1:22" x14ac:dyDescent="0.3">
      <c r="C7" s="9"/>
      <c r="D7" s="10"/>
      <c r="E7" s="20">
        <v>45657</v>
      </c>
      <c r="F7" s="21"/>
      <c r="G7" s="10"/>
      <c r="H7" s="10"/>
      <c r="I7" s="10"/>
      <c r="J7" s="10"/>
      <c r="K7" s="10"/>
      <c r="L7" s="10"/>
      <c r="M7" s="10"/>
      <c r="N7" s="10"/>
      <c r="O7" s="10"/>
      <c r="P7" s="11"/>
      <c r="Q7" s="10"/>
      <c r="R7" s="10"/>
      <c r="S7" s="10"/>
      <c r="T7" s="10"/>
      <c r="U7" s="10"/>
      <c r="V7" s="12"/>
    </row>
    <row r="8" spans="1:22" x14ac:dyDescent="0.3">
      <c r="A8">
        <v>100</v>
      </c>
      <c r="B8">
        <v>20</v>
      </c>
      <c r="C8" s="9">
        <f>A8*B8</f>
        <v>2000</v>
      </c>
      <c r="D8" s="10">
        <v>40</v>
      </c>
      <c r="E8" s="11">
        <f>A8*D8</f>
        <v>4000</v>
      </c>
      <c r="F8" s="10">
        <v>2000</v>
      </c>
      <c r="G8" s="10"/>
      <c r="H8" s="10"/>
      <c r="I8" s="10"/>
      <c r="J8" s="10"/>
      <c r="K8" s="10"/>
      <c r="L8" s="10"/>
      <c r="M8" s="10"/>
      <c r="N8" s="10">
        <v>100</v>
      </c>
      <c r="O8" s="10">
        <v>30</v>
      </c>
      <c r="P8" s="11">
        <f>N8*O8</f>
        <v>3000</v>
      </c>
      <c r="Q8" s="22">
        <v>1000</v>
      </c>
      <c r="R8" s="10"/>
      <c r="S8" s="10"/>
      <c r="T8" s="10"/>
      <c r="U8" s="10"/>
      <c r="V8" s="12"/>
    </row>
    <row r="9" spans="1:22" x14ac:dyDescent="0.3">
      <c r="A9">
        <v>100</v>
      </c>
      <c r="B9">
        <v>30</v>
      </c>
      <c r="C9" s="9">
        <f>A9*B9</f>
        <v>3000</v>
      </c>
      <c r="D9" s="10">
        <v>70</v>
      </c>
      <c r="E9" s="11">
        <f>A9*D9</f>
        <v>7000</v>
      </c>
      <c r="F9" s="10">
        <v>4000</v>
      </c>
      <c r="G9" s="10"/>
      <c r="H9" s="10"/>
      <c r="I9" s="10"/>
      <c r="J9" s="10"/>
      <c r="K9" s="10"/>
      <c r="L9" s="10"/>
      <c r="M9" s="10"/>
      <c r="N9" s="10">
        <v>100</v>
      </c>
      <c r="O9" s="10">
        <v>100</v>
      </c>
      <c r="P9" s="11">
        <f>N9*O9</f>
        <v>10000</v>
      </c>
      <c r="Q9" s="22">
        <v>7000</v>
      </c>
      <c r="R9" s="10"/>
      <c r="S9" s="10"/>
      <c r="T9" s="10"/>
      <c r="U9" s="10"/>
      <c r="V9" s="12"/>
    </row>
    <row r="10" spans="1:22" x14ac:dyDescent="0.3">
      <c r="C10" s="9">
        <f>SUM(C8:C9)</f>
        <v>5000</v>
      </c>
      <c r="D10" s="10"/>
      <c r="E10" s="11">
        <f>SUM(E8:E9)</f>
        <v>11000</v>
      </c>
      <c r="F10" s="10">
        <v>6000</v>
      </c>
      <c r="G10" s="10"/>
      <c r="H10" s="10"/>
      <c r="I10" s="10"/>
      <c r="J10" s="10"/>
      <c r="K10" s="10"/>
      <c r="L10" s="10"/>
      <c r="M10" s="10"/>
      <c r="N10" s="10"/>
      <c r="O10" s="10"/>
      <c r="P10" s="11">
        <f t="shared" ref="P10:P11" si="0">N10*O10</f>
        <v>0</v>
      </c>
      <c r="Q10" s="22"/>
      <c r="R10" s="10"/>
      <c r="S10" s="10"/>
      <c r="T10" s="10"/>
      <c r="U10" s="10"/>
      <c r="V10" s="12"/>
    </row>
    <row r="11" spans="1:22" x14ac:dyDescent="0.3">
      <c r="C11" s="9"/>
      <c r="D11" s="10"/>
      <c r="E11" s="11"/>
      <c r="F11" s="10"/>
      <c r="G11" s="10">
        <v>50</v>
      </c>
      <c r="H11" s="10">
        <v>10</v>
      </c>
      <c r="I11" s="10">
        <f>G11*H11</f>
        <v>500</v>
      </c>
      <c r="J11" s="10">
        <v>40</v>
      </c>
      <c r="K11" s="10">
        <v>100</v>
      </c>
      <c r="L11" s="10">
        <f>J11*K11</f>
        <v>4000</v>
      </c>
      <c r="M11" s="10">
        <f>L11-I11</f>
        <v>3500</v>
      </c>
      <c r="N11" s="10">
        <v>10</v>
      </c>
      <c r="O11" s="10">
        <v>120</v>
      </c>
      <c r="P11" s="11">
        <f t="shared" si="0"/>
        <v>1200</v>
      </c>
      <c r="Q11" s="22">
        <v>1100</v>
      </c>
      <c r="R11" s="10"/>
      <c r="S11" s="10"/>
      <c r="T11" s="10"/>
      <c r="U11" s="10"/>
      <c r="V11" s="12"/>
    </row>
    <row r="12" spans="1:22" x14ac:dyDescent="0.3">
      <c r="C12" s="9"/>
      <c r="D12" s="10"/>
      <c r="E12" s="11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1">
        <v>3500</v>
      </c>
      <c r="Q12" s="22"/>
      <c r="R12" s="10"/>
      <c r="S12" s="10"/>
      <c r="T12" s="10"/>
      <c r="U12" s="10"/>
      <c r="V12" s="12"/>
    </row>
    <row r="13" spans="1:22" x14ac:dyDescent="0.3">
      <c r="C13" s="9"/>
      <c r="D13" s="10"/>
      <c r="E13" s="11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1">
        <f>SUM(P8:P12)</f>
        <v>17700</v>
      </c>
      <c r="Q13" s="11">
        <f>Q8+Q11+Q9</f>
        <v>9100</v>
      </c>
      <c r="R13" s="10"/>
      <c r="S13" s="10"/>
      <c r="T13" s="10">
        <f>Q13-F18</f>
        <v>3100</v>
      </c>
      <c r="U13" s="10"/>
      <c r="V13" s="12"/>
    </row>
    <row r="14" spans="1:22" x14ac:dyDescent="0.3">
      <c r="C14" s="9"/>
      <c r="D14" s="10"/>
      <c r="E14" s="11"/>
      <c r="F14" s="11">
        <v>6000</v>
      </c>
      <c r="G14" s="10"/>
      <c r="H14" s="10"/>
      <c r="I14" s="10"/>
      <c r="J14" s="10"/>
      <c r="K14" s="10"/>
      <c r="L14" s="10" t="s">
        <v>2</v>
      </c>
      <c r="M14" s="10">
        <v>3500</v>
      </c>
      <c r="N14" s="10"/>
      <c r="O14" s="10"/>
      <c r="P14" s="11"/>
      <c r="Q14" s="10"/>
      <c r="R14" s="10"/>
      <c r="S14" s="10"/>
      <c r="T14" s="10"/>
      <c r="U14" s="10"/>
      <c r="V14" s="12"/>
    </row>
    <row r="15" spans="1:22" x14ac:dyDescent="0.3">
      <c r="C15" s="9"/>
      <c r="D15" s="10"/>
      <c r="E15" s="11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1"/>
      <c r="Q15" s="10"/>
      <c r="R15" s="10"/>
      <c r="S15" s="10"/>
      <c r="T15" s="10"/>
      <c r="U15" s="10"/>
      <c r="V15" s="12"/>
    </row>
    <row r="16" spans="1:22" x14ac:dyDescent="0.3">
      <c r="C16" s="9"/>
      <c r="D16" s="10"/>
      <c r="E16" s="11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1"/>
      <c r="Q16" s="10"/>
      <c r="R16" s="10"/>
      <c r="S16" s="10"/>
      <c r="T16" s="10"/>
      <c r="U16" s="10" t="s">
        <v>7</v>
      </c>
      <c r="V16" s="12"/>
    </row>
    <row r="17" spans="3:22" x14ac:dyDescent="0.3">
      <c r="C17" s="9"/>
      <c r="D17" s="10"/>
      <c r="E17" s="11" t="s">
        <v>3</v>
      </c>
      <c r="F17" s="10">
        <v>11000</v>
      </c>
      <c r="G17" s="10"/>
      <c r="H17" s="10"/>
      <c r="I17" s="10"/>
      <c r="J17" s="10"/>
      <c r="K17" s="10"/>
      <c r="L17" s="10"/>
      <c r="M17" s="10"/>
      <c r="N17" s="10"/>
      <c r="O17" s="10"/>
      <c r="P17" s="11" t="s">
        <v>3</v>
      </c>
      <c r="Q17" s="10">
        <v>17700</v>
      </c>
      <c r="R17" s="10"/>
      <c r="S17" s="10" t="s">
        <v>5</v>
      </c>
      <c r="T17" s="10">
        <f>Q17-F17</f>
        <v>6700</v>
      </c>
      <c r="U17" s="10">
        <f>T18-T13</f>
        <v>3500</v>
      </c>
      <c r="V17" s="12"/>
    </row>
    <row r="18" spans="3:22" x14ac:dyDescent="0.3">
      <c r="C18" s="9"/>
      <c r="D18" s="10"/>
      <c r="E18" s="11" t="s">
        <v>4</v>
      </c>
      <c r="F18" s="10">
        <v>6000</v>
      </c>
      <c r="G18" s="10"/>
      <c r="H18" s="10"/>
      <c r="I18" s="10"/>
      <c r="J18" s="10"/>
      <c r="K18" s="10"/>
      <c r="L18" s="10"/>
      <c r="M18" s="10"/>
      <c r="N18" s="10"/>
      <c r="O18" s="10"/>
      <c r="P18" s="11" t="s">
        <v>4</v>
      </c>
      <c r="Q18" s="10">
        <f>Q13+M14</f>
        <v>12600</v>
      </c>
      <c r="R18" s="10"/>
      <c r="S18" s="10" t="s">
        <v>6</v>
      </c>
      <c r="T18" s="10">
        <f>Q18-F18</f>
        <v>6600</v>
      </c>
      <c r="U18" s="10"/>
      <c r="V18" s="12"/>
    </row>
    <row r="19" spans="3:22" ht="15" thickBot="1" x14ac:dyDescent="0.35">
      <c r="C19" s="13"/>
      <c r="D19" s="14"/>
      <c r="E19" s="15" t="s">
        <v>4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5"/>
      <c r="Q19" s="14"/>
      <c r="R19" s="14"/>
      <c r="S19" s="14"/>
      <c r="T19" s="14"/>
      <c r="U19" s="14"/>
      <c r="V19" s="16"/>
    </row>
    <row r="20" spans="3:22" ht="15" thickBot="1" x14ac:dyDescent="0.35"/>
    <row r="21" spans="3:22" x14ac:dyDescent="0.3">
      <c r="C21" s="5" t="s">
        <v>8</v>
      </c>
      <c r="D21" s="6"/>
      <c r="E21" s="7" t="s">
        <v>3</v>
      </c>
      <c r="F21" s="6">
        <v>21638</v>
      </c>
      <c r="G21" s="6"/>
      <c r="H21" s="6"/>
      <c r="I21" s="6"/>
      <c r="J21" s="6"/>
      <c r="K21" s="6"/>
      <c r="L21" s="6"/>
      <c r="M21" s="6"/>
      <c r="N21" s="6"/>
      <c r="O21" s="6"/>
      <c r="P21" s="7" t="s">
        <v>3</v>
      </c>
      <c r="Q21" s="6">
        <v>21169</v>
      </c>
      <c r="R21" s="6"/>
      <c r="S21" s="6" t="s">
        <v>5</v>
      </c>
      <c r="T21" s="6">
        <f>Q21-F21</f>
        <v>-469</v>
      </c>
      <c r="U21" s="6"/>
      <c r="V21" s="8"/>
    </row>
    <row r="22" spans="3:22" x14ac:dyDescent="0.3">
      <c r="C22" s="9"/>
      <c r="D22" s="10"/>
      <c r="E22" s="11" t="s">
        <v>9</v>
      </c>
      <c r="F22" s="10">
        <v>3628</v>
      </c>
      <c r="G22" s="10"/>
      <c r="H22" s="10"/>
      <c r="I22" s="10"/>
      <c r="J22" s="10"/>
      <c r="K22" s="10"/>
      <c r="L22" s="10"/>
      <c r="M22" s="10"/>
      <c r="N22" s="10"/>
      <c r="O22" s="10"/>
      <c r="P22" s="11"/>
      <c r="Q22" s="10">
        <v>3161</v>
      </c>
      <c r="R22" s="10"/>
      <c r="S22" s="10" t="s">
        <v>6</v>
      </c>
      <c r="T22" s="10">
        <f>Q22-F22</f>
        <v>-467</v>
      </c>
      <c r="U22" s="10"/>
      <c r="V22" s="12"/>
    </row>
    <row r="23" spans="3:22" x14ac:dyDescent="0.3">
      <c r="C23" s="9"/>
      <c r="D23" s="10"/>
      <c r="E23" s="11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1"/>
      <c r="Q23" s="10"/>
      <c r="R23" s="10"/>
      <c r="S23" s="10"/>
      <c r="T23" s="10"/>
      <c r="U23" s="10"/>
      <c r="V23" s="12"/>
    </row>
    <row r="24" spans="3:22" x14ac:dyDescent="0.3">
      <c r="C24" s="9"/>
      <c r="D24" s="10"/>
      <c r="E24" s="11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1"/>
      <c r="Q24" s="10"/>
      <c r="R24" s="10"/>
      <c r="S24" s="10"/>
      <c r="T24" s="10"/>
      <c r="U24" s="10"/>
      <c r="V24" s="12"/>
    </row>
    <row r="25" spans="3:22" x14ac:dyDescent="0.3">
      <c r="C25" s="9"/>
      <c r="D25" s="10"/>
      <c r="E25" s="11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1"/>
      <c r="Q25" s="10">
        <v>545</v>
      </c>
      <c r="R25" s="10"/>
      <c r="S25" s="10"/>
      <c r="T25" s="10"/>
      <c r="U25" s="10"/>
      <c r="V25" s="12"/>
    </row>
    <row r="26" spans="3:22" x14ac:dyDescent="0.3">
      <c r="C26" s="9"/>
      <c r="D26" s="10"/>
      <c r="E26" s="11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1"/>
      <c r="Q26" s="10">
        <v>-349</v>
      </c>
      <c r="R26" s="10"/>
      <c r="S26" s="10"/>
      <c r="T26" s="10"/>
      <c r="U26" s="10"/>
      <c r="V26" s="12"/>
    </row>
    <row r="27" spans="3:22" x14ac:dyDescent="0.3">
      <c r="C27" s="9"/>
      <c r="D27" s="10"/>
      <c r="E27" s="11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1"/>
      <c r="Q27" s="10">
        <v>2381</v>
      </c>
      <c r="R27" s="10"/>
      <c r="S27" s="10"/>
      <c r="T27" s="10"/>
      <c r="U27" s="10"/>
      <c r="V27" s="12"/>
    </row>
    <row r="28" spans="3:22" x14ac:dyDescent="0.3">
      <c r="C28" s="9"/>
      <c r="D28" s="10"/>
      <c r="E28" s="11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1"/>
      <c r="Q28" s="10">
        <v>231</v>
      </c>
      <c r="R28" s="10"/>
      <c r="S28" s="10"/>
      <c r="T28" s="10"/>
      <c r="U28" s="10"/>
      <c r="V28" s="12"/>
    </row>
    <row r="29" spans="3:22" x14ac:dyDescent="0.3">
      <c r="C29" s="9"/>
      <c r="D29" s="10"/>
      <c r="E29" s="11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1"/>
      <c r="Q29" s="10">
        <v>-9</v>
      </c>
      <c r="R29" s="10"/>
      <c r="S29" s="10"/>
      <c r="T29" s="10"/>
      <c r="U29" s="10"/>
      <c r="V29" s="12"/>
    </row>
    <row r="30" spans="3:22" x14ac:dyDescent="0.3">
      <c r="C30" s="9"/>
      <c r="D30" s="10"/>
      <c r="E30" s="11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1"/>
      <c r="Q30" s="10">
        <v>39</v>
      </c>
      <c r="R30" s="10"/>
      <c r="S30" s="10"/>
      <c r="T30" s="10"/>
      <c r="U30" s="10"/>
      <c r="V30" s="12"/>
    </row>
    <row r="31" spans="3:22" x14ac:dyDescent="0.3">
      <c r="C31" s="9"/>
      <c r="D31" s="10"/>
      <c r="E31" s="11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1"/>
      <c r="Q31" s="10">
        <v>1</v>
      </c>
      <c r="R31" s="10"/>
      <c r="S31" s="10"/>
      <c r="T31" s="10"/>
      <c r="U31" s="10"/>
      <c r="V31" s="12"/>
    </row>
    <row r="32" spans="3:22" x14ac:dyDescent="0.3">
      <c r="C32" s="9"/>
      <c r="D32" s="10"/>
      <c r="E32" s="11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1" t="s">
        <v>9</v>
      </c>
      <c r="Q32" s="11">
        <f>SUM(Q25:Q31)</f>
        <v>2839</v>
      </c>
      <c r="R32" s="10"/>
      <c r="S32" s="10"/>
      <c r="T32" s="10">
        <f>Q32-F22</f>
        <v>-789</v>
      </c>
      <c r="U32" s="10">
        <f>T22-T32</f>
        <v>322</v>
      </c>
      <c r="V32" s="12"/>
    </row>
    <row r="33" spans="3:22" ht="15" thickBot="1" x14ac:dyDescent="0.35">
      <c r="C33" s="13"/>
      <c r="D33" s="14"/>
      <c r="E33" s="15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5"/>
      <c r="Q33" s="15"/>
      <c r="R33" s="14"/>
      <c r="S33" s="14"/>
      <c r="T33" s="14"/>
      <c r="U33" s="14"/>
      <c r="V33" s="16"/>
    </row>
    <row r="35" spans="3:22" x14ac:dyDescent="0.3">
      <c r="F35">
        <v>21638</v>
      </c>
      <c r="Q35">
        <v>22404</v>
      </c>
      <c r="R35">
        <f>Q35-F35</f>
        <v>766</v>
      </c>
    </row>
    <row r="36" spans="3:22" x14ac:dyDescent="0.3">
      <c r="F36">
        <v>3629</v>
      </c>
      <c r="O36">
        <v>4393</v>
      </c>
      <c r="Q36">
        <v>631</v>
      </c>
      <c r="R36">
        <f>Q44-F36</f>
        <v>-77</v>
      </c>
      <c r="T36">
        <f>O36-F36</f>
        <v>764</v>
      </c>
    </row>
    <row r="37" spans="3:22" x14ac:dyDescent="0.3">
      <c r="Q37">
        <v>-468</v>
      </c>
      <c r="R37">
        <f>R35-R36</f>
        <v>843</v>
      </c>
    </row>
    <row r="38" spans="3:22" x14ac:dyDescent="0.3">
      <c r="Q38">
        <v>2928</v>
      </c>
    </row>
    <row r="39" spans="3:22" x14ac:dyDescent="0.3">
      <c r="Q39">
        <v>373</v>
      </c>
    </row>
    <row r="40" spans="3:22" x14ac:dyDescent="0.3">
      <c r="Q40">
        <v>15</v>
      </c>
    </row>
    <row r="41" spans="3:22" x14ac:dyDescent="0.3">
      <c r="Q41">
        <v>86</v>
      </c>
    </row>
    <row r="42" spans="3:22" x14ac:dyDescent="0.3">
      <c r="Q42">
        <v>-34</v>
      </c>
    </row>
    <row r="43" spans="3:22" x14ac:dyDescent="0.3">
      <c r="Q43">
        <v>21</v>
      </c>
    </row>
    <row r="44" spans="3:22" x14ac:dyDescent="0.3">
      <c r="Q44">
        <f>SUM(Q36:Q43)</f>
        <v>3552</v>
      </c>
      <c r="T44">
        <f>Q44-F36</f>
        <v>-77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Jagadish Parajuli</dc:creator>
  <cp:lastModifiedBy>Jagadish Parajuli</cp:lastModifiedBy>
  <dcterms:created xsi:type="dcterms:W3CDTF">2024-04-01T21:12:49Z</dcterms:created>
  <dcterms:modified xsi:type="dcterms:W3CDTF">2024-05-14T21:29:22Z</dcterms:modified>
</cp:coreProperties>
</file>